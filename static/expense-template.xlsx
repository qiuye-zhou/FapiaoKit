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3" yWindow="-103" windowWidth="26949" windowHeight="17314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<sst xmlns="http://schemas.openxmlformats.org/spreadsheetml/2006/main" count="22" uniqueCount="22">
  <si>
    <t>报销单</t>
  </si>
  <si>
    <t>项目：</t>
  </si>
  <si>
    <t/>
  </si>
  <si>
    <t>报销日期：      年   月   日</t>
  </si>
  <si>
    <t>发生日期</t>
  </si>
  <si>
    <t>报销内容</t>
  </si>
  <si>
    <t>票据金额</t>
  </si>
  <si>
    <t>报销金额</t>
  </si>
  <si>
    <t>金额</t>
  </si>
  <si>
    <t>备   注</t>
  </si>
  <si>
    <t>附单据    张</t>
  </si>
  <si>
    <t>年</t>
  </si>
  <si>
    <t>月</t>
  </si>
  <si>
    <t>日</t>
  </si>
  <si>
    <t>十</t>
  </si>
  <si>
    <t>万</t>
  </si>
  <si>
    <t>仟</t>
  </si>
  <si>
    <t>佰</t>
  </si>
  <si>
    <t>拾</t>
  </si>
  <si>
    <t>元</t>
  </si>
  <si>
    <t>角</t>
  </si>
  <si>
    <t>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</si>
</sst>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yyyy&quot;年&quot;m&quot;月&quot;d&quot;日&quot;;@"/>
    <numFmt numFmtId="165" formatCode="_ * #,##0.00_ ;_ * -#,##0.00_ ;_ * &quot;-&quot;??_ ;_ @_ "/>
    <numFmt numFmtId="166" formatCode="[DBNum2][$RMB]General;[Red][DBNum2][$RMB]General"/>
    <numFmt numFmtId="167" formatCode="0.00;[Red]0.00"/>
    <numFmt numFmtId="168" formatCode="&quot;￥&quot;#,##0.00_);[Red](&quot;￥&quot;#,##0.00)"/>
  </numFmts>
  <fonts count="16" x14ac:knownFonts="1">
    <font>
      <color theme="1"/>
      <family val="2"/>
      <scheme val="minor"/>
      <sz val="11"/>
      <name val="Calibri"/>
    </font>
    <font>
      <charset val="134"/>
      <color theme="1"/>
      <sz val="11"/>
      <name val="黑体"/>
    </font>
    <font>
      <charset val="134"/>
      <sz val="12"/>
      <name val="黑体"/>
    </font>
    <font>
      <charset val="134"/>
      <color theme="0"/>
      <sz val="12"/>
      <name val="黑体"/>
    </font>
    <font>
      <b/>
      <charset val="134"/>
      <color rgb="FF2BA259"/>
      <sz val="36"/>
      <name val="黑体"/>
    </font>
    <font>
      <b/>
      <charset val="134"/>
      <sz val="36"/>
      <name val="黑体"/>
    </font>
    <font>
      <b/>
      <charset val="134"/>
      <color theme="0"/>
      <sz val="36"/>
      <name val="黑体"/>
    </font>
    <font>
      <charset val="134"/>
      <sz val="13"/>
      <name val="黑体"/>
    </font>
    <font>
      <charset val="134"/>
      <family val="3"/>
      <sz val="12"/>
      <name val="黑体"/>
    </font>
    <font>
      <b/>
      <charset val="134"/>
      <color rgb="FF2BA259"/>
      <family val="3"/>
      <sz val="12"/>
      <name val="黑体"/>
    </font>
    <font>
      <b/>
      <charset val="134"/>
      <color rgb="FF2BA259"/>
      <sz val="12"/>
      <name val="黑体"/>
    </font>
    <font>
      <b/>
      <charset val="134"/>
      <sz val="12"/>
      <name val="黑体"/>
    </font>
    <font>
      <b/>
      <charset val="134"/>
      <color rgb="FF2BA259"/>
      <sz val="10"/>
      <name val="黑体"/>
    </font>
    <font>
      <b/>
      <charset val="134"/>
      <color rgb="FF2BA259"/>
      <sz val="11"/>
      <name val="黑体"/>
    </font>
    <font>
      <charset val="134"/>
      <sz val="11"/>
      <name val="黑体"/>
    </font>
    <font>
      <charset val="134"/>
      <family val="3"/>
      <sz val="11"/>
      <name val="黑体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2BA259"/>
      </left>
      <right style="thin">
        <color rgb="FF2BA259"/>
      </right>
      <top style="medium">
        <color rgb="FF2BA259"/>
      </top>
      <bottom style="thin">
        <color rgb="FF2BA259"/>
      </bottom>
      <diagonal/>
    </border>
    <border>
      <left style="thin">
        <color rgb="FF2BA259"/>
      </left>
      <right style="thin">
        <color rgb="FF2BA259"/>
      </right>
      <top style="medium">
        <color rgb="FF2BA259"/>
      </top>
      <bottom style="thin">
        <color rgb="FF2BA259"/>
      </bottom>
      <diagonal/>
    </border>
    <border>
      <left style="thin">
        <color rgb="FF2BA259"/>
      </left>
      <right style="medium">
        <color rgb="FF2BA259"/>
      </right>
      <top style="medium">
        <color rgb="FF2BA259"/>
      </top>
      <bottom style="thin">
        <color rgb="FF2BA259"/>
      </bottom>
      <diagonal/>
    </border>
    <border>
      <left style="medium">
        <color rgb="FF2BA259"/>
      </left>
      <right style="thin">
        <color rgb="FF2BA259"/>
      </right>
      <top style="thin">
        <color rgb="FF2BA259"/>
      </top>
      <bottom style="thin">
        <color rgb="FF2BA259"/>
      </bottom>
      <diagonal/>
    </border>
    <border>
      <left style="thin">
        <color rgb="FF2BA259"/>
      </left>
      <right style="thin">
        <color rgb="FF2BA259"/>
      </right>
      <top style="thin">
        <color rgb="FF2BA259"/>
      </top>
      <bottom style="thin">
        <color rgb="FF2BA259"/>
      </bottom>
      <diagonal/>
    </border>
    <border>
      <left style="thin">
        <color rgb="FF2BA259"/>
      </left>
      <right style="medium">
        <color rgb="FF2BA259"/>
      </right>
      <top style="thin">
        <color rgb="FF2BA259"/>
      </top>
      <bottom style="thin">
        <color rgb="FF2BA25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 shrinkToFit="1"/>
      <protection locked="0"/>
    </xf>
    <xf numFmtId="0" fontId="9" fillId="0" borderId="0" xfId="0" applyFont="1" applyAlignment="1" applyProtection="1">
      <alignment horizontal="center" vertical="center" shrinkToFit="1"/>
      <protection locked="0"/>
    </xf>
    <xf numFmtId="0" fontId="10" fillId="0" borderId="0" xfId="0" applyFont="1" applyAlignment="1" applyProtection="1">
      <alignment horizontal="center" vertical="center" shrinkToFit="1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164" fontId="2" fillId="0" borderId="0" xfId="0" applyNumberFormat="1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 shrinkToFit="1"/>
      <protection locked="0"/>
    </xf>
    <xf numFmtId="0" fontId="12" fillId="0" borderId="1" xfId="0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 shrinkToFit="1"/>
      <protection locked="0"/>
    </xf>
    <xf numFmtId="164" fontId="12" fillId="0" borderId="3" xfId="0" applyNumberFormat="1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center" textRotation="255"/>
    </xf>
    <xf numFmtId="0" fontId="12" fillId="0" borderId="4" xfId="0" applyFont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164" fontId="12" fillId="0" borderId="6" xfId="0" applyNumberFormat="1" applyFont="1" applyBorder="1" applyAlignment="1" applyProtection="1">
      <alignment horizontal="center" vertical="center"/>
      <protection locked="0"/>
    </xf>
    <xf numFmtId="0" fontId="14" fillId="0" borderId="4" xfId="0" applyFont="1" applyBorder="1" applyAlignment="1" applyProtection="1">
      <alignment horizontal="center" vertical="center"/>
      <protection locked="0"/>
    </xf>
    <xf numFmtId="0" fontId="14" fillId="0" borderId="5" xfId="0" applyFont="1" applyBorder="1" applyAlignment="1" applyProtection="1">
      <alignment horizontal="center" vertical="center"/>
      <protection locked="0"/>
    </xf>
    <xf numFmtId="0" fontId="15" fillId="0" borderId="5" xfId="0" applyFont="1" applyBorder="1" applyAlignment="1" applyProtection="1">
      <alignment horizontal="center" vertical="center"/>
      <protection locked="0"/>
    </xf>
    <xf numFmtId="165" fontId="14" fillId="0" borderId="5" xfId="0" applyNumberFormat="1" applyFont="1" applyBorder="1" applyAlignment="1" applyProtection="1">
      <alignment horizontal="center" vertical="center" shrinkToFit="1"/>
      <protection locked="0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top" wrapText="1"/>
      <protection locked="0"/>
    </xf>
    <xf numFmtId="0" fontId="12" fillId="0" borderId="4" xfId="0" applyFont="1" applyBorder="1" applyAlignment="1" applyProtection="1">
      <alignment horizontal="center" vertical="center" wrapText="1"/>
      <protection locked="0"/>
    </xf>
    <xf numFmtId="0" fontId="12" fillId="0" borderId="5" xfId="0" applyFont="1" applyBorder="1" applyAlignment="1" applyProtection="1">
      <alignment horizontal="center" vertical="center" wrapText="1"/>
      <protection locked="0"/>
    </xf>
    <xf numFmtId="166" fontId="2" fillId="0" borderId="5" xfId="0" applyNumberFormat="1" applyFont="1" applyBorder="1" applyAlignment="1">
      <alignment horizontal="center" vertical="center"/>
    </xf>
    <xf numFmtId="167" fontId="15" fillId="0" borderId="5" xfId="0" applyNumberFormat="1" applyFont="1" applyBorder="1" applyAlignment="1">
      <alignment vertical="center"/>
    </xf>
    <xf numFmtId="168" fontId="2" fillId="0" borderId="6" xfId="0" applyNumberFormat="1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8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58"/>
  <sheetViews>
    <sheetView workbookViewId="0" showGridLines="0" zoomScale="100" zoomScaleNormal="100">
      <selection activeCell="U11" sqref="U11"/>
    </sheetView>
  </sheetViews>
  <sheetFormatPr defaultRowHeight="15" outlineLevelRow="0" outlineLevelCol="0" x14ac:dyDescent="0.3" defaultColWidth="9"/>
  <cols>
    <col min="1" max="1" width="4.23046875" style="1" customWidth="1"/>
    <col min="2" max="2" width="2.3828125" style="2" customWidth="1"/>
    <col min="3" max="5" width="5.53515625" style="2" customWidth="1"/>
    <col min="6" max="6" width="19.15234375" style="2" customWidth="1"/>
    <col min="7" max="7" width="14.61328125" style="2" customWidth="1"/>
    <col min="8" max="8" width="14.921875" style="2" customWidth="1"/>
    <col min="9" max="16" width="2.69140625" style="2" customWidth="1"/>
    <col min="17" max="17" width="12.4609375" style="2" customWidth="1"/>
    <col min="18" max="18" width="4.15234375" style="2" customWidth="1"/>
    <col min="19" max="19" width="14" style="3" hidden="1" customWidth="1"/>
    <col min="20" max="16379" width="9" style="2" customWidth="1"/>
    <col min="16380" max="16384" width="9" style="1" customWidth="1"/>
  </cols>
  <sheetData>
    <row r="2" ht="45" customHeight="1" spans="3:19" s="2" customFormat="1" x14ac:dyDescent="0.25">
      <c r="C2" s="4" t="s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6"/>
    </row>
    <row r="3" ht="6" customHeight="1" spans="3:19" s="2" customFormat="1" x14ac:dyDescent="0.25">
      <c r="C3" s="7"/>
      <c r="D3" s="7"/>
      <c r="E3" s="7"/>
      <c r="F3" s="7"/>
      <c r="G3" s="7"/>
      <c r="H3" s="7"/>
      <c r="M3" s="8"/>
      <c r="N3" s="8"/>
      <c r="O3" s="8"/>
      <c r="P3" s="8"/>
      <c r="Q3" s="8"/>
      <c r="R3" s="8"/>
      <c r="S3" s="3"/>
    </row>
    <row r="4" ht="26.05" customHeight="1" spans="3:19" s="2" customFormat="1" x14ac:dyDescent="0.25">
      <c r="C4" s="9" t="s">
        <v>1</v>
      </c>
      <c r="D4" s="8"/>
      <c r="E4" s="8"/>
      <c r="F4" s="10" t="s">
        <v>2</v>
      </c>
      <c r="G4" s="11" t="s">
        <v>3</v>
      </c>
      <c r="H4" s="12"/>
      <c r="I4" s="12"/>
      <c r="J4" s="12"/>
      <c r="K4" s="8"/>
      <c r="L4" s="13"/>
      <c r="M4" s="14"/>
      <c r="N4" s="14"/>
      <c r="O4" s="14"/>
      <c r="P4" s="14"/>
      <c r="Q4" s="14"/>
      <c r="S4" s="3"/>
    </row>
    <row r="5" ht="10" customHeight="1" spans="3:19" s="2" customFormat="1" x14ac:dyDescent="0.25">
      <c r="C5" s="8"/>
      <c r="D5" s="8"/>
      <c r="E5" s="8"/>
      <c r="F5" s="15"/>
      <c r="G5" s="15"/>
      <c r="H5" s="15"/>
      <c r="I5" s="8"/>
      <c r="J5" s="8"/>
      <c r="K5" s="8"/>
      <c r="L5" s="13"/>
      <c r="M5" s="14"/>
      <c r="N5" s="14"/>
      <c r="O5" s="14"/>
      <c r="P5" s="14"/>
      <c r="Q5" s="14"/>
      <c r="S5" s="3"/>
    </row>
    <row r="6" ht="20.05" customHeight="1" spans="3:19" s="2" customFormat="1" x14ac:dyDescent="0.25">
      <c r="C6" s="16" t="s">
        <v>4</v>
      </c>
      <c r="D6" s="17"/>
      <c r="E6" s="17"/>
      <c r="F6" s="17" t="s">
        <v>5</v>
      </c>
      <c r="G6" s="17" t="s">
        <v>6</v>
      </c>
      <c r="H6" s="17" t="s">
        <v>7</v>
      </c>
      <c r="I6" s="18" t="s">
        <v>8</v>
      </c>
      <c r="J6" s="18"/>
      <c r="K6" s="18"/>
      <c r="L6" s="18"/>
      <c r="M6" s="18"/>
      <c r="N6" s="18"/>
      <c r="O6" s="18"/>
      <c r="P6" s="18"/>
      <c r="Q6" s="19" t="s">
        <v>9</v>
      </c>
      <c r="R6" s="20" t="s">
        <v>10</v>
      </c>
      <c r="S6" s="3"/>
    </row>
    <row r="7" ht="20.05" customHeight="1" spans="3:19" s="2" customFormat="1" x14ac:dyDescent="0.25">
      <c r="C7" s="21" t="s">
        <v>11</v>
      </c>
      <c r="D7" s="22" t="s">
        <v>12</v>
      </c>
      <c r="E7" s="22" t="s">
        <v>13</v>
      </c>
      <c r="F7" s="22"/>
      <c r="G7" s="22"/>
      <c r="H7" s="22"/>
      <c r="I7" s="22" t="s">
        <v>14</v>
      </c>
      <c r="J7" s="22" t="s">
        <v>15</v>
      </c>
      <c r="K7" s="22" t="s">
        <v>16</v>
      </c>
      <c r="L7" s="22" t="s">
        <v>17</v>
      </c>
      <c r="M7" s="22" t="s">
        <v>18</v>
      </c>
      <c r="N7" s="22" t="s">
        <v>19</v>
      </c>
      <c r="O7" s="22" t="s">
        <v>20</v>
      </c>
      <c r="P7" s="22" t="s">
        <v>21</v>
      </c>
      <c r="Q7" s="23"/>
      <c r="R7" s="20"/>
      <c r="S7" s="3"/>
    </row>
    <row r="8" ht="23.05" customHeight="1" spans="1:19" s="2" customFormat="1" x14ac:dyDescent="0.25">
      <c r="A8" s="2"/>
      <c r="B8" s="2"/>
      <c r="C8" s="24"/>
      <c r="D8" s="25"/>
      <c r="E8" s="25"/>
      <c r="F8" s="26"/>
      <c r="G8" s="25"/>
      <c r="H8" s="27"/>
      <c r="I8" s="28">
        <f>(MOD(S8,100000000)-MOD(S8,10000000))/10000000</f>
      </c>
      <c r="J8" s="28">
        <f>(MOD(S8,10000000)-MOD(S8,1000000))/1000000</f>
      </c>
      <c r="K8" s="28">
        <f>(MOD(S8,1000000)-MOD(S8,100000))/100000</f>
      </c>
      <c r="L8" s="28">
        <f>(MOD(S8,100000)-MOD(S8,10000))/10000</f>
      </c>
      <c r="M8" s="28">
        <f>(MOD(S8,10000)-MOD(S8,1000))/1000</f>
      </c>
      <c r="N8" s="28">
        <f>(MOD(S8,1000)-MOD(S8,100))/100</f>
      </c>
      <c r="O8" s="28">
        <f>(MOD(S8,100)-MOD(S8,10))/10</f>
      </c>
      <c r="P8" s="28">
        <f>MOD(S8,1)</f>
      </c>
      <c r="Q8" s="29"/>
      <c r="R8" s="20"/>
      <c r="S8" s="3">
        <f>H8*100</f>
      </c>
    </row>
    <row r="9" ht="23.05" customHeight="1" spans="1:19" s="2" customFormat="1" x14ac:dyDescent="0.25">
      <c r="A9" s="2"/>
      <c r="B9" s="2"/>
      <c r="C9" s="24"/>
      <c r="D9" s="25"/>
      <c r="E9" s="25"/>
      <c r="F9" s="26"/>
      <c r="G9" s="25"/>
      <c r="H9" s="27"/>
      <c r="I9" s="28">
        <f>(MOD(S9,100000000)-MOD(S9,10000000))/10000000</f>
      </c>
      <c r="J9" s="28">
        <f>(MOD(S9,10000000)-MOD(S9,1000000))/1000000</f>
      </c>
      <c r="K9" s="28">
        <f>(MOD(S9,1000000)-MOD(S9,100000))/100000</f>
      </c>
      <c r="L9" s="28">
        <f>(MOD(S9,100000)-MOD(S9,10000))/10000</f>
      </c>
      <c r="M9" s="28">
        <f>(MOD(S9,10000)-MOD(S9,1000))/1000</f>
      </c>
      <c r="N9" s="28">
        <f>(MOD(S9,1000)-MOD(S9,100))/100</f>
      </c>
      <c r="O9" s="28">
        <f>(MOD(S9,100)-MOD(S9,10))/10</f>
      </c>
      <c r="P9" s="28">
        <f>MOD(S9,1)</f>
      </c>
      <c r="Q9" s="29"/>
      <c r="R9" s="20"/>
      <c r="S9" s="3">
        <f>H9*100</f>
      </c>
    </row>
    <row r="10" ht="23.05" customHeight="1" spans="1:19" s="2" customFormat="1" x14ac:dyDescent="0.25">
      <c r="A10" s="2"/>
      <c r="B10" s="2"/>
      <c r="C10" s="24"/>
      <c r="D10" s="25"/>
      <c r="E10" s="25"/>
      <c r="F10" s="26"/>
      <c r="G10" s="25"/>
      <c r="H10" s="27"/>
      <c r="I10" s="28">
        <f>(MOD(S10,100000000)-MOD(S10,10000000))/10000000</f>
      </c>
      <c r="J10" s="28">
        <f>(MOD(S10,10000000)-MOD(S10,1000000))/1000000</f>
      </c>
      <c r="K10" s="28">
        <f>(MOD(S10,1000000)-MOD(S10,100000))/100000</f>
      </c>
      <c r="L10" s="28">
        <f>(MOD(S10,100000)-MOD(S10,10000))/10000</f>
      </c>
      <c r="M10" s="28">
        <f>(MOD(S10,10000)-MOD(S10,1000))/1000</f>
      </c>
      <c r="N10" s="28">
        <f>(MOD(S10,1000)-MOD(S10,100))/100</f>
      </c>
      <c r="O10" s="28">
        <f>(MOD(S10,100)-MOD(S10,10))/10</f>
      </c>
      <c r="P10" s="28">
        <f>MOD(S10,1)</f>
      </c>
      <c r="Q10" s="29"/>
      <c r="R10" s="20"/>
      <c r="S10" s="3">
        <f>H10*100</f>
      </c>
    </row>
    <row r="11" ht="23.05" customHeight="1" spans="1:19" s="2" customFormat="1" x14ac:dyDescent="0.25">
      <c r="A11" s="2"/>
      <c r="B11" s="2"/>
      <c r="C11" s="24"/>
      <c r="D11" s="25"/>
      <c r="E11" s="25"/>
      <c r="F11" s="26"/>
      <c r="G11" s="25"/>
      <c r="H11" s="27"/>
      <c r="I11" s="28">
        <f>(MOD(S11,100000000)-MOD(S11,10000000))/10000000</f>
      </c>
      <c r="J11" s="28">
        <f>(MOD(S11,10000000)-MOD(S11,1000000))/1000000</f>
      </c>
      <c r="K11" s="28">
        <f>(MOD(S11,1000000)-MOD(S11,100000))/100000</f>
      </c>
      <c r="L11" s="28">
        <f>(MOD(S11,100000)-MOD(S11,10000))/10000</f>
      </c>
      <c r="M11" s="28">
        <f>(MOD(S11,10000)-MOD(S11,1000))/1000</f>
      </c>
      <c r="N11" s="28">
        <f>(MOD(S11,1000)-MOD(S11,100))/100</f>
      </c>
      <c r="O11" s="28">
        <f>(MOD(S11,100)-MOD(S11,10))/10</f>
      </c>
      <c r="P11" s="28">
        <f>MOD(S11,1)</f>
      </c>
      <c r="Q11" s="29"/>
      <c r="R11" s="20"/>
      <c r="S11" s="3">
        <f>H11*100</f>
      </c>
    </row>
    <row r="12" ht="23.05" customHeight="1" spans="1:19" s="2" customFormat="1" x14ac:dyDescent="0.25">
      <c r="A12" s="2"/>
      <c r="B12" s="2"/>
      <c r="C12" s="24"/>
      <c r="D12" s="25"/>
      <c r="E12" s="25"/>
      <c r="F12" s="26"/>
      <c r="G12" s="25"/>
      <c r="H12" s="27"/>
      <c r="I12" s="28">
        <f>(MOD(S12,100000000)-MOD(S12,10000000))/10000000</f>
      </c>
      <c r="J12" s="28">
        <f>(MOD(S12,10000000)-MOD(S12,1000000))/1000000</f>
      </c>
      <c r="K12" s="28">
        <f>(MOD(S12,1000000)-MOD(S12,100000))/100000</f>
      </c>
      <c r="L12" s="28">
        <f>(MOD(S12,100000)-MOD(S12,10000))/10000</f>
      </c>
      <c r="M12" s="28">
        <f>(MOD(S12,10000)-MOD(S12,1000))/1000</f>
      </c>
      <c r="N12" s="28">
        <f>(MOD(S12,1000)-MOD(S12,100))/100</f>
      </c>
      <c r="O12" s="28">
        <f>(MOD(S12,100)-MOD(S12,10))/10</f>
      </c>
      <c r="P12" s="28">
        <f>MOD(S12,1)</f>
      </c>
      <c r="Q12" s="29"/>
      <c r="R12" s="20"/>
      <c r="S12" s="3">
        <f>H12*100</f>
      </c>
    </row>
    <row r="13" ht="23.05" customHeight="1" spans="1:19" s="2" customFormat="1" x14ac:dyDescent="0.25">
      <c r="A13" s="2"/>
      <c r="B13" s="2"/>
      <c r="C13" s="24"/>
      <c r="D13" s="25"/>
      <c r="E13" s="25"/>
      <c r="F13" s="26"/>
      <c r="G13" s="25"/>
      <c r="H13" s="27"/>
      <c r="I13" s="28">
        <f>(MOD(S13,100000000)-MOD(S13,10000000))/10000000</f>
      </c>
      <c r="J13" s="28">
        <f>(MOD(S13,10000000)-MOD(S13,1000000))/1000000</f>
      </c>
      <c r="K13" s="28">
        <f>(MOD(S13,1000000)-MOD(S13,100000))/100000</f>
      </c>
      <c r="L13" s="28">
        <f>(MOD(S13,100000)-MOD(S13,10000))/10000</f>
      </c>
      <c r="M13" s="28">
        <f>(MOD(S13,10000)-MOD(S13,1000))/1000</f>
      </c>
      <c r="N13" s="28">
        <f>(MOD(S13,1000)-MOD(S13,100))/100</f>
      </c>
      <c r="O13" s="28">
        <f>(MOD(S13,100)-MOD(S13,10))/10</f>
      </c>
      <c r="P13" s="28">
        <f>MOD(S13,1)</f>
      </c>
      <c r="Q13" s="29"/>
      <c r="R13" s="20"/>
      <c r="S13" s="3">
        <f>H13*100</f>
      </c>
    </row>
    <row r="14" ht="23.05" customHeight="1" spans="1:19" s="2" customFormat="1" x14ac:dyDescent="0.25">
      <c r="A14" s="2"/>
      <c r="B14" s="2"/>
      <c r="C14" s="24"/>
      <c r="D14" s="25"/>
      <c r="E14" s="25"/>
      <c r="F14" s="26"/>
      <c r="G14" s="25"/>
      <c r="H14" s="27"/>
      <c r="I14" s="28">
        <f>(MOD(S14,100000000)-MOD(S14,10000000))/10000000</f>
      </c>
      <c r="J14" s="28">
        <f>(MOD(S14,10000000)-MOD(S14,1000000))/1000000</f>
      </c>
      <c r="K14" s="28">
        <f>(MOD(S14,1000000)-MOD(S14,100000))/100000</f>
      </c>
      <c r="L14" s="28">
        <f>(MOD(S14,100000)-MOD(S14,10000))/10000</f>
      </c>
      <c r="M14" s="28">
        <f>(MOD(S14,10000)-MOD(S14,1000))/1000</f>
      </c>
      <c r="N14" s="28">
        <f>(MOD(S14,1000)-MOD(S14,100))/100</f>
      </c>
      <c r="O14" s="28">
        <f>(MOD(S14,100)-MOD(S14,10))/10</f>
      </c>
      <c r="P14" s="28">
        <f>MOD(S14,1)</f>
      </c>
      <c r="Q14" s="29"/>
      <c r="R14" s="20"/>
      <c r="S14" s="3">
        <f>H14*100</f>
      </c>
    </row>
    <row r="15" ht="23.05" customHeight="1" spans="1:19" s="2" customFormat="1" x14ac:dyDescent="0.25">
      <c r="A15" s="2"/>
      <c r="B15" s="2"/>
      <c r="C15" s="24"/>
      <c r="D15" s="25"/>
      <c r="E15" s="25"/>
      <c r="F15" s="26"/>
      <c r="G15" s="25"/>
      <c r="H15" s="27"/>
      <c r="I15" s="28">
        <f>(MOD(S15,100000000)-MOD(S15,10000000))/10000000</f>
      </c>
      <c r="J15" s="28">
        <f>(MOD(S15,10000000)-MOD(S15,1000000))/1000000</f>
      </c>
      <c r="K15" s="28">
        <f>(MOD(S15,1000000)-MOD(S15,100000))/100000</f>
      </c>
      <c r="L15" s="28">
        <f>(MOD(S15,100000)-MOD(S15,10000))/10000</f>
      </c>
      <c r="M15" s="28">
        <f>(MOD(S15,10000)-MOD(S15,1000))/1000</f>
      </c>
      <c r="N15" s="28">
        <f>(MOD(S15,1000)-MOD(S15,100))/100</f>
      </c>
      <c r="O15" s="28">
        <f>(MOD(S15,100)-MOD(S15,10))/10</f>
      </c>
      <c r="P15" s="28">
        <f>MOD(S15,1)</f>
      </c>
      <c r="Q15" s="29"/>
      <c r="R15" s="20"/>
      <c r="S15" s="3">
        <f>H15*100</f>
      </c>
    </row>
    <row r="16" ht="23.05" customHeight="1" spans="1:19" s="2" customFormat="1" x14ac:dyDescent="0.25">
      <c r="A16" s="2"/>
      <c r="B16" s="2"/>
      <c r="C16" s="24"/>
      <c r="D16" s="25"/>
      <c r="E16" s="25"/>
      <c r="F16" s="26"/>
      <c r="G16" s="25"/>
      <c r="H16" s="27"/>
      <c r="I16" s="28">
        <f>(MOD(S16,100000000)-MOD(S16,10000000))/10000000</f>
      </c>
      <c r="J16" s="28">
        <f>(MOD(S16,10000000)-MOD(S16,1000000))/1000000</f>
      </c>
      <c r="K16" s="28">
        <f>(MOD(S16,1000000)-MOD(S16,100000))/100000</f>
      </c>
      <c r="L16" s="28">
        <f>(MOD(S16,100000)-MOD(S16,10000))/10000</f>
      </c>
      <c r="M16" s="28">
        <f>(MOD(S16,10000)-MOD(S16,1000))/1000</f>
      </c>
      <c r="N16" s="28">
        <f>(MOD(S16,1000)-MOD(S16,100))/100</f>
      </c>
      <c r="O16" s="28">
        <f>(MOD(S16,100)-MOD(S16,10))/10</f>
      </c>
      <c r="P16" s="28">
        <f>MOD(S16,1)</f>
      </c>
      <c r="Q16" s="29"/>
      <c r="R16" s="20"/>
      <c r="S16" s="3">
        <f>H16*100</f>
      </c>
    </row>
    <row r="17" ht="23.05" customHeight="1" spans="1:19" s="2" customFormat="1" x14ac:dyDescent="0.25">
      <c r="A17" s="2"/>
      <c r="B17" s="2"/>
      <c r="C17" s="24"/>
      <c r="D17" s="25"/>
      <c r="E17" s="25"/>
      <c r="F17" s="26"/>
      <c r="G17" s="25"/>
      <c r="H17" s="27"/>
      <c r="I17" s="28">
        <f>(MOD(S17,100000000)-MOD(S17,10000000))/10000000</f>
      </c>
      <c r="J17" s="28">
        <f>(MOD(S17,10000000)-MOD(S17,1000000))/1000000</f>
      </c>
      <c r="K17" s="28">
        <f>(MOD(S17,1000000)-MOD(S17,100000))/100000</f>
      </c>
      <c r="L17" s="28">
        <f>(MOD(S17,100000)-MOD(S17,10000))/10000</f>
      </c>
      <c r="M17" s="28">
        <f>(MOD(S17,10000)-MOD(S17,1000))/1000</f>
      </c>
      <c r="N17" s="28">
        <f>(MOD(S17,1000)-MOD(S17,100))/100</f>
      </c>
      <c r="O17" s="28">
        <f>(MOD(S17,100)-MOD(S17,10))/10</f>
      </c>
      <c r="P17" s="28">
        <f>MOD(S17,1)</f>
      </c>
      <c r="Q17" s="29"/>
      <c r="R17" s="20"/>
      <c r="S17" s="3">
        <f>H17*100</f>
      </c>
    </row>
    <row r="18" ht="23.05" customHeight="1" spans="1:19" s="2" customFormat="1" x14ac:dyDescent="0.25">
      <c r="A18" s="2"/>
      <c r="B18" s="2"/>
      <c r="C18" s="24"/>
      <c r="D18" s="25"/>
      <c r="E18" s="25"/>
      <c r="F18" s="26"/>
      <c r="G18" s="25"/>
      <c r="H18" s="27"/>
      <c r="I18" s="28">
        <f>(MOD(S18,100000000)-MOD(S18,10000000))/10000000</f>
      </c>
      <c r="J18" s="28">
        <f>(MOD(S18,10000000)-MOD(S18,1000000))/1000000</f>
      </c>
      <c r="K18" s="28">
        <f>(MOD(S18,1000000)-MOD(S18,100000))/100000</f>
      </c>
      <c r="L18" s="28">
        <f>(MOD(S18,100000)-MOD(S18,10000))/10000</f>
      </c>
      <c r="M18" s="28">
        <f>(MOD(S18,10000)-MOD(S18,1000))/1000</f>
      </c>
      <c r="N18" s="28">
        <f>(MOD(S18,1000)-MOD(S18,100))/100</f>
      </c>
      <c r="O18" s="28">
        <f>(MOD(S18,100)-MOD(S18,10))/10</f>
      </c>
      <c r="P18" s="28">
        <f>MOD(S18,1)</f>
      </c>
      <c r="Q18" s="29"/>
      <c r="R18" s="20"/>
      <c r="S18" s="3">
        <f>H18*100</f>
      </c>
    </row>
    <row r="19" ht="23.05" customHeight="1" spans="1:20" s="2" customFormat="1" x14ac:dyDescent="0.25">
      <c r="A19" s="2"/>
      <c r="B19" s="2"/>
      <c r="C19" s="24"/>
      <c r="D19" s="25"/>
      <c r="E19" s="25"/>
      <c r="F19" s="26"/>
      <c r="G19" s="25"/>
      <c r="H19" s="27"/>
      <c r="I19" s="28">
        <f>(MOD(S19,100000000)-MOD(S19,10000000))/10000000</f>
      </c>
      <c r="J19" s="28">
        <f>(MOD(S19,10000000)-MOD(S19,1000000))/1000000</f>
      </c>
      <c r="K19" s="28">
        <f>(MOD(S19,1000000)-MOD(S19,100000))/100000</f>
      </c>
      <c r="L19" s="28">
        <f>(MOD(S19,100000)-MOD(S19,10000))/10000</f>
      </c>
      <c r="M19" s="28">
        <f>(MOD(S19,10000)-MOD(S19,1000))/1000</f>
      </c>
      <c r="N19" s="28">
        <f>(MOD(S19,1000)-MOD(S19,100))/100</f>
      </c>
      <c r="O19" s="28">
        <f>(MOD(S19,100)-MOD(S19,10))/10</f>
      </c>
      <c r="P19" s="28">
        <f>MOD(S19,1)</f>
      </c>
      <c r="Q19" s="29"/>
      <c r="R19" s="20"/>
      <c r="S19" s="3">
        <f>H19*100</f>
      </c>
      <c r="T19" s="24"/>
    </row>
    <row r="20" ht="23.05" customHeight="1" spans="1:20" s="2" customFormat="1" x14ac:dyDescent="0.25">
      <c r="A20" s="2"/>
      <c r="B20" s="2"/>
      <c r="C20" s="24"/>
      <c r="D20" s="25"/>
      <c r="E20" s="25"/>
      <c r="F20" s="26"/>
      <c r="G20" s="25"/>
      <c r="H20" s="27"/>
      <c r="I20" s="28">
        <f>(MOD(S20,100000000)-MOD(S20,10000000))/10000000</f>
      </c>
      <c r="J20" s="28">
        <f>(MOD(S20,10000000)-MOD(S20,1000000))/1000000</f>
      </c>
      <c r="K20" s="28">
        <f>(MOD(S20,1000000)-MOD(S20,100000))/100000</f>
      </c>
      <c r="L20" s="28">
        <f>(MOD(S20,100000)-MOD(S20,10000))/10000</f>
      </c>
      <c r="M20" s="28">
        <f>(MOD(S20,10000)-MOD(S20,1000))/1000</f>
      </c>
      <c r="N20" s="28">
        <f>(MOD(S20,1000)-MOD(S20,100))/100</f>
      </c>
      <c r="O20" s="28">
        <f>(MOD(S20,100)-MOD(S20,10))/10</f>
      </c>
      <c r="P20" s="28">
        <f>MOD(S20,1)</f>
      </c>
      <c r="Q20" s="29"/>
      <c r="R20" s="20"/>
      <c r="S20" s="3">
        <f>H20*100</f>
      </c>
      <c r="T20" s="24"/>
    </row>
    <row r="21" ht="23.05" customHeight="1" spans="1:20" s="2" customFormat="1" x14ac:dyDescent="0.25">
      <c r="A21" s="2"/>
      <c r="B21" s="2"/>
      <c r="C21" s="24"/>
      <c r="D21" s="25"/>
      <c r="E21" s="25"/>
      <c r="F21" s="26"/>
      <c r="G21" s="25"/>
      <c r="H21" s="27"/>
      <c r="I21" s="28">
        <f>(MOD(S21,100000000)-MOD(S21,10000000))/10000000</f>
      </c>
      <c r="J21" s="28">
        <f>(MOD(S21,10000000)-MOD(S21,1000000))/1000000</f>
      </c>
      <c r="K21" s="28">
        <f>(MOD(S21,1000000)-MOD(S21,100000))/100000</f>
      </c>
      <c r="L21" s="28">
        <f>(MOD(S21,100000)-MOD(S21,10000))/10000</f>
      </c>
      <c r="M21" s="28">
        <f>(MOD(S21,10000)-MOD(S21,1000))/1000</f>
      </c>
      <c r="N21" s="28">
        <f>(MOD(S21,1000)-MOD(S21,100))/100</f>
      </c>
      <c r="O21" s="28">
        <f>(MOD(S21,100)-MOD(S21,10))/10</f>
      </c>
      <c r="P21" s="28">
        <f>MOD(S21,1)</f>
      </c>
      <c r="Q21" s="29"/>
      <c r="R21" s="20"/>
      <c r="S21" s="3">
        <f>H21*100</f>
      </c>
      <c r="T21" s="24"/>
    </row>
    <row r="22" ht="23.05" customHeight="1" spans="1:20" s="2" customFormat="1" x14ac:dyDescent="0.25">
      <c r="A22" s="2"/>
      <c r="B22" s="2"/>
      <c r="C22" s="24"/>
      <c r="D22" s="25"/>
      <c r="E22" s="25"/>
      <c r="F22" s="26"/>
      <c r="G22" s="25"/>
      <c r="H22" s="27"/>
      <c r="I22" s="28">
        <f>(MOD(S22,100000000)-MOD(S22,10000000))/10000000</f>
      </c>
      <c r="J22" s="28">
        <f>(MOD(S22,10000000)-MOD(S22,1000000))/1000000</f>
      </c>
      <c r="K22" s="28">
        <f>(MOD(S22,1000000)-MOD(S22,100000))/100000</f>
      </c>
      <c r="L22" s="28">
        <f>(MOD(S22,100000)-MOD(S22,10000))/10000</f>
      </c>
      <c r="M22" s="28">
        <f>(MOD(S22,10000)-MOD(S22,1000))/1000</f>
      </c>
      <c r="N22" s="28">
        <f>(MOD(S22,1000)-MOD(S22,100))/100</f>
      </c>
      <c r="O22" s="28">
        <f>(MOD(S22,100)-MOD(S22,10))/10</f>
      </c>
      <c r="P22" s="28">
        <f>MOD(S22,1)</f>
      </c>
      <c r="Q22" s="29"/>
      <c r="R22" s="20"/>
      <c r="S22" s="3">
        <f>H22*100</f>
      </c>
      <c r="T22" s="24"/>
    </row>
    <row r="23" ht="23.05" customHeight="1" spans="1:20" s="2" customFormat="1" x14ac:dyDescent="0.25">
      <c r="A23" s="2"/>
      <c r="B23" s="2"/>
      <c r="C23" s="24"/>
      <c r="D23" s="25"/>
      <c r="E23" s="25"/>
      <c r="F23" s="26"/>
      <c r="G23" s="25"/>
      <c r="H23" s="27"/>
      <c r="I23" s="28">
        <f>(MOD(S23,100000000)-MOD(S23,10000000))/10000000</f>
      </c>
      <c r="J23" s="28">
        <f>(MOD(S23,10000000)-MOD(S23,1000000))/1000000</f>
      </c>
      <c r="K23" s="28">
        <f>(MOD(S23,1000000)-MOD(S23,100000))/100000</f>
      </c>
      <c r="L23" s="28">
        <f>(MOD(S23,100000)-MOD(S23,10000))/10000</f>
      </c>
      <c r="M23" s="28">
        <f>(MOD(S23,10000)-MOD(S23,1000))/1000</f>
      </c>
      <c r="N23" s="28">
        <f>(MOD(S23,1000)-MOD(S23,100))/100</f>
      </c>
      <c r="O23" s="28">
        <f>(MOD(S23,100)-MOD(S23,10))/10</f>
      </c>
      <c r="P23" s="28">
        <f>MOD(S23,1)</f>
      </c>
      <c r="Q23" s="29"/>
      <c r="R23" s="20"/>
      <c r="S23" s="3">
        <f>H23*100</f>
      </c>
      <c r="T23" s="24"/>
    </row>
    <row r="24" ht="23.05" customHeight="1" spans="1:20" s="2" customFormat="1" x14ac:dyDescent="0.25">
      <c r="A24" s="2"/>
      <c r="B24" s="2"/>
      <c r="C24" s="24"/>
      <c r="D24" s="25"/>
      <c r="E24" s="25"/>
      <c r="F24" s="26"/>
      <c r="G24" s="25"/>
      <c r="H24" s="27"/>
      <c r="I24" s="28">
        <f>(MOD(S24,100000000)-MOD(S24,10000000))/10000000</f>
      </c>
      <c r="J24" s="28">
        <f>(MOD(S24,10000000)-MOD(S24,1000000))/1000000</f>
      </c>
      <c r="K24" s="28">
        <f>(MOD(S24,1000000)-MOD(S24,100000))/100000</f>
      </c>
      <c r="L24" s="28">
        <f>(MOD(S24,100000)-MOD(S24,10000))/10000</f>
      </c>
      <c r="M24" s="28">
        <f>(MOD(S24,10000)-MOD(S24,1000))/1000</f>
      </c>
      <c r="N24" s="28">
        <f>(MOD(S24,1000)-MOD(S24,100))/100</f>
      </c>
      <c r="O24" s="28">
        <f>(MOD(S24,100)-MOD(S24,10))/10</f>
      </c>
      <c r="P24" s="28">
        <f>MOD(S24,1)</f>
      </c>
      <c r="Q24" s="29"/>
      <c r="R24" s="20"/>
      <c r="S24" s="3">
        <f>H24*100</f>
      </c>
      <c r="T24" s="24"/>
    </row>
    <row r="25" ht="23.05" customHeight="1" spans="1:20" s="2" customFormat="1" x14ac:dyDescent="0.25">
      <c r="A25" s="2"/>
      <c r="B25" s="2"/>
      <c r="C25" s="24"/>
      <c r="D25" s="25"/>
      <c r="E25" s="25"/>
      <c r="F25" s="26"/>
      <c r="G25" s="25"/>
      <c r="H25" s="27"/>
      <c r="I25" s="28">
        <f>(MOD(S25,100000000)-MOD(S25,10000000))/10000000</f>
      </c>
      <c r="J25" s="28">
        <f>(MOD(S25,10000000)-MOD(S25,1000000))/1000000</f>
      </c>
      <c r="K25" s="28">
        <f>(MOD(S25,1000000)-MOD(S25,100000))/100000</f>
      </c>
      <c r="L25" s="28">
        <f>(MOD(S25,100000)-MOD(S25,10000))/10000</f>
      </c>
      <c r="M25" s="28">
        <f>(MOD(S25,10000)-MOD(S25,1000))/1000</f>
      </c>
      <c r="N25" s="28">
        <f>(MOD(S25,1000)-MOD(S25,100))/100</f>
      </c>
      <c r="O25" s="28">
        <f>(MOD(S25,100)-MOD(S25,10))/10</f>
      </c>
      <c r="P25" s="28">
        <f>MOD(S25,1)</f>
      </c>
      <c r="Q25" s="29"/>
      <c r="R25" s="20"/>
      <c r="S25" s="3">
        <f>H25*100</f>
      </c>
      <c r="T25" s="24"/>
    </row>
    <row r="26" ht="23.05" customHeight="1" spans="1:20" s="2" customFormat="1" x14ac:dyDescent="0.25">
      <c r="A26" s="2"/>
      <c r="B26" s="2"/>
      <c r="C26" s="24"/>
      <c r="D26" s="25"/>
      <c r="E26" s="25"/>
      <c r="F26" s="26"/>
      <c r="G26" s="25"/>
      <c r="H26" s="27"/>
      <c r="I26" s="28">
        <f>(MOD(S26,100000000)-MOD(S26,10000000))/10000000</f>
      </c>
      <c r="J26" s="28">
        <f>(MOD(S26,10000000)-MOD(S26,1000000))/1000000</f>
      </c>
      <c r="K26" s="28">
        <f>(MOD(S26,1000000)-MOD(S26,100000))/100000</f>
      </c>
      <c r="L26" s="28">
        <f>(MOD(S26,100000)-MOD(S26,10000))/10000</f>
      </c>
      <c r="M26" s="28">
        <f>(MOD(S26,10000)-MOD(S26,1000))/1000</f>
      </c>
      <c r="N26" s="28">
        <f>(MOD(S26,1000)-MOD(S26,100))/100</f>
      </c>
      <c r="O26" s="28">
        <f>(MOD(S26,100)-MOD(S26,10))/10</f>
      </c>
      <c r="P26" s="28">
        <f>MOD(S26,1)</f>
      </c>
      <c r="Q26" s="29"/>
      <c r="R26" s="20"/>
      <c r="S26" s="3">
        <f>H26*100</f>
      </c>
      <c r="T26" s="24"/>
    </row>
    <row r="27" ht="23.05" customHeight="1" spans="1:20" s="2" customFormat="1" x14ac:dyDescent="0.25">
      <c r="A27" s="2"/>
      <c r="B27" s="2"/>
      <c r="C27" s="24"/>
      <c r="D27" s="25"/>
      <c r="E27" s="25"/>
      <c r="F27" s="26"/>
      <c r="G27" s="25"/>
      <c r="H27" s="27"/>
      <c r="I27" s="28">
        <f>(MOD(S27,100000000)-MOD(S27,10000000))/10000000</f>
      </c>
      <c r="J27" s="28">
        <f>(MOD(S27,10000000)-MOD(S27,1000000))/1000000</f>
      </c>
      <c r="K27" s="28">
        <f>(MOD(S27,1000000)-MOD(S27,100000))/100000</f>
      </c>
      <c r="L27" s="28">
        <f>(MOD(S27,100000)-MOD(S27,10000))/10000</f>
      </c>
      <c r="M27" s="28">
        <f>(MOD(S27,10000)-MOD(S27,1000))/1000</f>
      </c>
      <c r="N27" s="28">
        <f>(MOD(S27,1000)-MOD(S27,100))/100</f>
      </c>
      <c r="O27" s="28">
        <f>(MOD(S27,100)-MOD(S27,10))/10</f>
      </c>
      <c r="P27" s="28">
        <f>MOD(S27,1)</f>
      </c>
      <c r="Q27" s="29"/>
      <c r="R27" s="20"/>
      <c r="S27" s="3">
        <f>H27*100</f>
      </c>
      <c r="T27" s="24"/>
    </row>
    <row r="28" ht="23.05" customHeight="1" spans="1:20" s="2" customFormat="1" x14ac:dyDescent="0.25">
      <c r="A28" s="2"/>
      <c r="B28" s="2"/>
      <c r="C28" s="24"/>
      <c r="D28" s="25"/>
      <c r="E28" s="25"/>
      <c r="F28" s="26"/>
      <c r="G28" s="25"/>
      <c r="H28" s="27"/>
      <c r="I28" s="28">
        <f>(MOD(S28,100000000)-MOD(S28,10000000))/10000000</f>
      </c>
      <c r="J28" s="28">
        <f>(MOD(S28,10000000)-MOD(S28,1000000))/1000000</f>
      </c>
      <c r="K28" s="28">
        <f>(MOD(S28,1000000)-MOD(S28,100000))/100000</f>
      </c>
      <c r="L28" s="28">
        <f>(MOD(S28,100000)-MOD(S28,10000))/10000</f>
      </c>
      <c r="M28" s="28">
        <f>(MOD(S28,10000)-MOD(S28,1000))/1000</f>
      </c>
      <c r="N28" s="28">
        <f>(MOD(S28,1000)-MOD(S28,100))/100</f>
      </c>
      <c r="O28" s="28">
        <f>(MOD(S28,100)-MOD(S28,10))/10</f>
      </c>
      <c r="P28" s="28">
        <f>MOD(S28,1)</f>
      </c>
      <c r="Q28" s="29"/>
      <c r="R28" s="20"/>
      <c r="S28" s="3">
        <f>H28*100</f>
      </c>
      <c r="T28" s="24"/>
    </row>
    <row r="29" ht="23.05" customHeight="1" spans="1:20" x14ac:dyDescent="0.25">
      <c r="A29" s="2"/>
      <c r="B29" s="2"/>
      <c r="C29" s="24"/>
      <c r="D29" s="25"/>
      <c r="E29" s="25"/>
      <c r="F29" s="26"/>
      <c r="G29" s="25"/>
      <c r="H29" s="27"/>
      <c r="I29" s="28">
        <f>(MOD(S29,100000000)-MOD(S29,10000000))/10000000</f>
      </c>
      <c r="J29" s="28">
        <f>(MOD(S29,10000000)-MOD(S29,1000000))/1000000</f>
      </c>
      <c r="K29" s="28">
        <f>(MOD(S29,1000000)-MOD(S29,100000))/100000</f>
      </c>
      <c r="L29" s="28">
        <f>(MOD(S29,100000)-MOD(S29,10000))/10000</f>
      </c>
      <c r="M29" s="28">
        <f>(MOD(S29,10000)-MOD(S29,1000))/1000</f>
      </c>
      <c r="N29" s="28">
        <f>(MOD(S29,1000)-MOD(S29,100))/100</f>
      </c>
      <c r="O29" s="28">
        <f>(MOD(S29,100)-MOD(S29,10))/10</f>
      </c>
      <c r="P29" s="28">
        <f>MOD(S29,1)</f>
      </c>
      <c r="Q29" s="29"/>
      <c r="R29" s="20"/>
      <c r="S29" s="3">
        <f>H29*100</f>
      </c>
      <c r="T29" s="24"/>
    </row>
    <row r="30" ht="23.05" customHeight="1" spans="1:20" x14ac:dyDescent="0.25">
      <c r="A30" s="2"/>
      <c r="B30" s="2"/>
      <c r="C30" s="24"/>
      <c r="D30" s="25"/>
      <c r="E30" s="25"/>
      <c r="F30" s="26"/>
      <c r="G30" s="25"/>
      <c r="H30" s="27"/>
      <c r="I30" s="28">
        <f>(MOD(S30,100000000)-MOD(S30,10000000))/10000000</f>
      </c>
      <c r="J30" s="28">
        <f>(MOD(S30,10000000)-MOD(S30,1000000))/1000000</f>
      </c>
      <c r="K30" s="28">
        <f>(MOD(S30,1000000)-MOD(S30,100000))/100000</f>
      </c>
      <c r="L30" s="28">
        <f>(MOD(S30,100000)-MOD(S30,10000))/10000</f>
      </c>
      <c r="M30" s="28">
        <f>(MOD(S30,10000)-MOD(S30,1000))/1000</f>
      </c>
      <c r="N30" s="28">
        <f>(MOD(S30,1000)-MOD(S30,100))/100</f>
      </c>
      <c r="O30" s="28">
        <f>(MOD(S30,100)-MOD(S30,10))/10</f>
      </c>
      <c r="P30" s="28">
        <f>MOD(S30,1)</f>
      </c>
      <c r="Q30" s="29"/>
      <c r="R30" s="20"/>
      <c r="S30" s="3">
        <f>H30*100</f>
      </c>
      <c r="T30" s="24"/>
    </row>
    <row r="31" ht="23.05" customHeight="1" spans="1:20" x14ac:dyDescent="0.25">
      <c r="A31" s="2"/>
      <c r="B31" s="2"/>
      <c r="C31" s="24"/>
      <c r="D31" s="25"/>
      <c r="E31" s="25"/>
      <c r="F31" s="26"/>
      <c r="G31" s="25"/>
      <c r="H31" s="27"/>
      <c r="I31" s="28">
        <f>(MOD(S31,100000000)-MOD(S31,10000000))/10000000</f>
      </c>
      <c r="J31" s="28">
        <f>(MOD(S31,10000000)-MOD(S31,1000000))/1000000</f>
      </c>
      <c r="K31" s="28">
        <f>(MOD(S31,1000000)-MOD(S31,100000))/100000</f>
      </c>
      <c r="L31" s="28">
        <f>(MOD(S31,100000)-MOD(S31,10000))/10000</f>
      </c>
      <c r="M31" s="28">
        <f>(MOD(S31,10000)-MOD(S31,1000))/1000</f>
      </c>
      <c r="N31" s="28">
        <f>(MOD(S31,1000)-MOD(S31,100))/100</f>
      </c>
      <c r="O31" s="28">
        <f>(MOD(S31,100)-MOD(S31,10))/10</f>
      </c>
      <c r="P31" s="28">
        <f>MOD(S31,1)</f>
      </c>
      <c r="Q31" s="29"/>
      <c r="R31" s="20"/>
      <c r="S31" s="3">
        <f>H31*100</f>
      </c>
      <c r="T31" s="24"/>
    </row>
    <row r="32" ht="23.05" customHeight="1" spans="1:20" x14ac:dyDescent="0.25">
      <c r="A32" s="2"/>
      <c r="B32" s="2"/>
      <c r="C32" s="24"/>
      <c r="D32" s="25"/>
      <c r="E32" s="25"/>
      <c r="F32" s="26"/>
      <c r="G32" s="25"/>
      <c r="H32" s="27"/>
      <c r="I32" s="28">
        <f>(MOD(S32,100000000)-MOD(S32,10000000))/10000000</f>
      </c>
      <c r="J32" s="28">
        <f>(MOD(S32,10000000)-MOD(S32,1000000))/1000000</f>
      </c>
      <c r="K32" s="28">
        <f>(MOD(S32,1000000)-MOD(S32,100000))/100000</f>
      </c>
      <c r="L32" s="28">
        <f>(MOD(S32,100000)-MOD(S32,10000))/10000</f>
      </c>
      <c r="M32" s="28">
        <f>(MOD(S32,10000)-MOD(S32,1000))/1000</f>
      </c>
      <c r="N32" s="28">
        <f>(MOD(S32,1000)-MOD(S32,100))/100</f>
      </c>
      <c r="O32" s="28">
        <f>(MOD(S32,100)-MOD(S32,10))/10</f>
      </c>
      <c r="P32" s="28">
        <f>MOD(S32,1)</f>
      </c>
      <c r="Q32" s="29"/>
      <c r="R32" s="20"/>
      <c r="S32" s="3">
        <f>H32*100</f>
      </c>
      <c r="T32" s="24"/>
    </row>
    <row r="33" ht="23.05" customHeight="1" spans="1:20" x14ac:dyDescent="0.25">
      <c r="A33" s="2"/>
      <c r="B33" s="2"/>
      <c r="C33" s="24"/>
      <c r="D33" s="25"/>
      <c r="E33" s="25"/>
      <c r="F33" s="26"/>
      <c r="G33" s="25"/>
      <c r="H33" s="27"/>
      <c r="I33" s="28">
        <f>(MOD(S33,100000000)-MOD(S33,10000000))/10000000</f>
      </c>
      <c r="J33" s="28">
        <f>(MOD(S33,10000000)-MOD(S33,1000000))/1000000</f>
      </c>
      <c r="K33" s="28">
        <f>(MOD(S33,1000000)-MOD(S33,100000))/100000</f>
      </c>
      <c r="L33" s="28">
        <f>(MOD(S33,100000)-MOD(S33,10000))/10000</f>
      </c>
      <c r="M33" s="28">
        <f>(MOD(S33,10000)-MOD(S33,1000))/1000</f>
      </c>
      <c r="N33" s="28">
        <f>(MOD(S33,1000)-MOD(S33,100))/100</f>
      </c>
      <c r="O33" s="28">
        <f>(MOD(S33,100)-MOD(S33,10))/10</f>
      </c>
      <c r="P33" s="28">
        <f>MOD(S33,1)</f>
      </c>
      <c r="Q33" s="29"/>
      <c r="R33" s="20"/>
      <c r="S33" s="3">
        <f>H33*100</f>
      </c>
      <c r="T33" s="24"/>
    </row>
    <row r="34" ht="23.05" customHeight="1" spans="1:20" x14ac:dyDescent="0.25">
      <c r="A34" s="2"/>
      <c r="B34" s="2"/>
      <c r="C34" s="24"/>
      <c r="D34" s="25"/>
      <c r="E34" s="25"/>
      <c r="F34" s="26"/>
      <c r="G34" s="25"/>
      <c r="H34" s="27"/>
      <c r="I34" s="28">
        <f>(MOD(S34,100000000)-MOD(S34,10000000))/10000000</f>
      </c>
      <c r="J34" s="28">
        <f>(MOD(S34,10000000)-MOD(S34,1000000))/1000000</f>
      </c>
      <c r="K34" s="28">
        <f>(MOD(S34,1000000)-MOD(S34,100000))/100000</f>
      </c>
      <c r="L34" s="28">
        <f>(MOD(S34,100000)-MOD(S34,10000))/10000</f>
      </c>
      <c r="M34" s="28">
        <f>(MOD(S34,10000)-MOD(S34,1000))/1000</f>
      </c>
      <c r="N34" s="28">
        <f>(MOD(S34,1000)-MOD(S34,100))/100</f>
      </c>
      <c r="O34" s="28">
        <f>(MOD(S34,100)-MOD(S34,10))/10</f>
      </c>
      <c r="P34" s="28">
        <f>MOD(S34,1)</f>
      </c>
      <c r="Q34" s="29"/>
      <c r="R34" s="20"/>
      <c r="S34" s="3">
        <f>H34*100</f>
      </c>
      <c r="T34" s="24"/>
    </row>
    <row r="35" ht="23.05" customHeight="1" spans="1:20" x14ac:dyDescent="0.25">
      <c r="A35" s="2"/>
      <c r="B35" s="2"/>
      <c r="C35" s="24"/>
      <c r="D35" s="25"/>
      <c r="E35" s="25"/>
      <c r="F35" s="26"/>
      <c r="G35" s="25"/>
      <c r="H35" s="27"/>
      <c r="I35" s="28">
        <f>(MOD(S35,100000000)-MOD(S35,10000000))/10000000</f>
      </c>
      <c r="J35" s="28">
        <f>(MOD(S35,10000000)-MOD(S35,1000000))/1000000</f>
      </c>
      <c r="K35" s="28">
        <f>(MOD(S35,1000000)-MOD(S35,100000))/100000</f>
      </c>
      <c r="L35" s="28">
        <f>(MOD(S35,100000)-MOD(S35,10000))/10000</f>
      </c>
      <c r="M35" s="28">
        <f>(MOD(S35,10000)-MOD(S35,1000))/1000</f>
      </c>
      <c r="N35" s="28">
        <f>(MOD(S35,1000)-MOD(S35,100))/100</f>
      </c>
      <c r="O35" s="28">
        <f>(MOD(S35,100)-MOD(S35,10))/10</f>
      </c>
      <c r="P35" s="28">
        <f>MOD(S35,1)</f>
      </c>
      <c r="Q35" s="29"/>
      <c r="R35" s="20"/>
      <c r="S35" s="3">
        <f>H35*100</f>
      </c>
      <c r="T35" s="24"/>
    </row>
    <row r="36" ht="23.05" customHeight="1" spans="1:20" x14ac:dyDescent="0.25">
      <c r="A36" s="2"/>
      <c r="B36" s="2"/>
      <c r="C36" s="24"/>
      <c r="D36" s="25"/>
      <c r="E36" s="25"/>
      <c r="F36" s="26"/>
      <c r="G36" s="25"/>
      <c r="H36" s="27"/>
      <c r="I36" s="28">
        <f>(MOD(S36,100000000)-MOD(S36,10000000))/10000000</f>
      </c>
      <c r="J36" s="28">
        <f>(MOD(S36,10000000)-MOD(S36,1000000))/1000000</f>
      </c>
      <c r="K36" s="28">
        <f>(MOD(S36,1000000)-MOD(S36,100000))/100000</f>
      </c>
      <c r="L36" s="28">
        <f>(MOD(S36,100000)-MOD(S36,10000))/10000</f>
      </c>
      <c r="M36" s="28">
        <f>(MOD(S36,10000)-MOD(S36,1000))/1000</f>
      </c>
      <c r="N36" s="28">
        <f>(MOD(S36,1000)-MOD(S36,100))/100</f>
      </c>
      <c r="O36" s="28">
        <f>(MOD(S36,100)-MOD(S36,10))/10</f>
      </c>
      <c r="P36" s="28">
        <f>MOD(S36,1)</f>
      </c>
      <c r="Q36" s="29"/>
      <c r="R36" s="20"/>
      <c r="S36" s="3">
        <f>H36*100</f>
      </c>
      <c r="T36" s="24"/>
    </row>
    <row r="37" ht="23.05" customHeight="1" spans="1:20" x14ac:dyDescent="0.25">
      <c r="A37" s="2"/>
      <c r="B37" s="2"/>
      <c r="C37" s="24"/>
      <c r="D37" s="25"/>
      <c r="E37" s="25"/>
      <c r="F37" s="26"/>
      <c r="G37" s="25"/>
      <c r="H37" s="27"/>
      <c r="I37" s="28">
        <f>(MOD(S37,100000000)-MOD(S37,10000000))/10000000</f>
      </c>
      <c r="J37" s="28">
        <f>(MOD(S37,10000000)-MOD(S37,1000000))/1000000</f>
      </c>
      <c r="K37" s="28">
        <f>(MOD(S37,1000000)-MOD(S37,100000))/100000</f>
      </c>
      <c r="L37" s="28">
        <f>(MOD(S37,100000)-MOD(S37,10000))/10000</f>
      </c>
      <c r="M37" s="28">
        <f>(MOD(S37,10000)-MOD(S37,1000))/1000</f>
      </c>
      <c r="N37" s="28">
        <f>(MOD(S37,1000)-MOD(S37,100))/100</f>
      </c>
      <c r="O37" s="28">
        <f>(MOD(S37,100)-MOD(S37,10))/10</f>
      </c>
      <c r="P37" s="28">
        <f>MOD(S37,1)</f>
      </c>
      <c r="Q37" s="29"/>
      <c r="R37" s="20"/>
      <c r="S37" s="3">
        <f>H37*100</f>
      </c>
      <c r="T37" s="24"/>
    </row>
    <row r="38" ht="23.05" customHeight="1" spans="1:20" x14ac:dyDescent="0.25">
      <c r="A38" s="2"/>
      <c r="B38" s="2"/>
      <c r="C38" s="24"/>
      <c r="D38" s="25"/>
      <c r="E38" s="25"/>
      <c r="F38" s="26"/>
      <c r="G38" s="25"/>
      <c r="H38" s="27"/>
      <c r="I38" s="28">
        <f>(MOD(S38,100000000)-MOD(S38,10000000))/10000000</f>
      </c>
      <c r="J38" s="28">
        <f>(MOD(S38,10000000)-MOD(S38,1000000))/1000000</f>
      </c>
      <c r="K38" s="28">
        <f>(MOD(S38,1000000)-MOD(S38,100000))/100000</f>
      </c>
      <c r="L38" s="28">
        <f>(MOD(S38,100000)-MOD(S38,10000))/10000</f>
      </c>
      <c r="M38" s="28">
        <f>(MOD(S38,10000)-MOD(S38,1000))/1000</f>
      </c>
      <c r="N38" s="28">
        <f>(MOD(S38,1000)-MOD(S38,100))/100</f>
      </c>
      <c r="O38" s="28">
        <f>(MOD(S38,100)-MOD(S38,10))/10</f>
      </c>
      <c r="P38" s="28">
        <f>MOD(S38,1)</f>
      </c>
      <c r="Q38" s="29"/>
      <c r="R38" s="20"/>
      <c r="S38" s="3">
        <f>H38*100</f>
      </c>
      <c r="T38" s="24"/>
    </row>
    <row r="39" ht="23.05" customHeight="1" spans="1:20" x14ac:dyDescent="0.25">
      <c r="A39" s="2"/>
      <c r="B39" s="2"/>
      <c r="C39" s="24"/>
      <c r="D39" s="25"/>
      <c r="E39" s="25"/>
      <c r="F39" s="26"/>
      <c r="G39" s="25"/>
      <c r="H39" s="27"/>
      <c r="I39" s="28">
        <f>(MOD(S39,100000000)-MOD(S39,10000000))/10000000</f>
      </c>
      <c r="J39" s="28">
        <f>(MOD(S39,10000000)-MOD(S39,1000000))/1000000</f>
      </c>
      <c r="K39" s="28">
        <f>(MOD(S39,1000000)-MOD(S39,100000))/100000</f>
      </c>
      <c r="L39" s="28">
        <f>(MOD(S39,100000)-MOD(S39,10000))/10000</f>
      </c>
      <c r="M39" s="28">
        <f>(MOD(S39,10000)-MOD(S39,1000))/1000</f>
      </c>
      <c r="N39" s="28">
        <f>(MOD(S39,1000)-MOD(S39,100))/100</f>
      </c>
      <c r="O39" s="28">
        <f>(MOD(S39,100)-MOD(S39,10))/10</f>
      </c>
      <c r="P39" s="28">
        <f>MOD(S39,1)</f>
      </c>
      <c r="Q39" s="29"/>
      <c r="R39" s="20"/>
      <c r="S39" s="3">
        <f>H39*100</f>
      </c>
      <c r="T39" s="24"/>
    </row>
    <row r="40" ht="23.05" customHeight="1" spans="1:20" x14ac:dyDescent="0.25">
      <c r="A40" s="2"/>
      <c r="B40" s="2"/>
      <c r="C40" s="24"/>
      <c r="D40" s="25"/>
      <c r="E40" s="25"/>
      <c r="F40" s="26"/>
      <c r="G40" s="25"/>
      <c r="H40" s="27"/>
      <c r="I40" s="28">
        <f>(MOD(S40,100000000)-MOD(S40,10000000))/10000000</f>
      </c>
      <c r="J40" s="28">
        <f>(MOD(S40,10000000)-MOD(S40,1000000))/1000000</f>
      </c>
      <c r="K40" s="28">
        <f>(MOD(S40,1000000)-MOD(S40,100000))/100000</f>
      </c>
      <c r="L40" s="28">
        <f>(MOD(S40,100000)-MOD(S40,10000))/10000</f>
      </c>
      <c r="M40" s="28">
        <f>(MOD(S40,10000)-MOD(S40,1000))/1000</f>
      </c>
      <c r="N40" s="28">
        <f>(MOD(S40,1000)-MOD(S40,100))/100</f>
      </c>
      <c r="O40" s="28">
        <f>(MOD(S40,100)-MOD(S40,10))/10</f>
      </c>
      <c r="P40" s="28">
        <f>MOD(S40,1)</f>
      </c>
      <c r="Q40" s="29"/>
      <c r="R40" s="20"/>
      <c r="S40" s="3">
        <f>H40*100</f>
      </c>
      <c r="T40" s="24"/>
    </row>
    <row r="41" ht="23.05" customHeight="1" spans="1:20" x14ac:dyDescent="0.25">
      <c r="A41" s="2"/>
      <c r="B41" s="2"/>
      <c r="C41" s="24"/>
      <c r="D41" s="25"/>
      <c r="E41" s="25"/>
      <c r="F41" s="26"/>
      <c r="G41" s="25"/>
      <c r="H41" s="27"/>
      <c r="I41" s="28">
        <f>(MOD(S41,100000000)-MOD(S41,10000000))/10000000</f>
      </c>
      <c r="J41" s="28">
        <f>(MOD(S41,10000000)-MOD(S41,1000000))/1000000</f>
      </c>
      <c r="K41" s="28">
        <f>(MOD(S41,1000000)-MOD(S41,100000))/100000</f>
      </c>
      <c r="L41" s="28">
        <f>(MOD(S41,100000)-MOD(S41,10000))/10000</f>
      </c>
      <c r="M41" s="28">
        <f>(MOD(S41,10000)-MOD(S41,1000))/1000</f>
      </c>
      <c r="N41" s="28">
        <f>(MOD(S41,1000)-MOD(S41,100))/100</f>
      </c>
      <c r="O41" s="28">
        <f>(MOD(S41,100)-MOD(S41,10))/10</f>
      </c>
      <c r="P41" s="28">
        <f>MOD(S41,1)</f>
      </c>
      <c r="Q41" s="29"/>
      <c r="R41" s="20"/>
      <c r="S41" s="3">
        <f>H41*100</f>
      </c>
      <c r="T41" s="24"/>
    </row>
    <row r="42" ht="23.05" customHeight="1" spans="1:20" x14ac:dyDescent="0.25">
      <c r="A42" s="2"/>
      <c r="B42" s="2"/>
      <c r="C42" s="24"/>
      <c r="D42" s="25"/>
      <c r="E42" s="25"/>
      <c r="F42" s="26"/>
      <c r="G42" s="25"/>
      <c r="H42" s="27"/>
      <c r="I42" s="28">
        <f>(MOD(S42,100000000)-MOD(S42,10000000))/10000000</f>
      </c>
      <c r="J42" s="28">
        <f>(MOD(S42,10000000)-MOD(S42,1000000))/1000000</f>
      </c>
      <c r="K42" s="28">
        <f>(MOD(S42,1000000)-MOD(S42,100000))/100000</f>
      </c>
      <c r="L42" s="28">
        <f>(MOD(S42,100000)-MOD(S42,10000))/10000</f>
      </c>
      <c r="M42" s="28">
        <f>(MOD(S42,10000)-MOD(S42,1000))/1000</f>
      </c>
      <c r="N42" s="28">
        <f>(MOD(S42,1000)-MOD(S42,100))/100</f>
      </c>
      <c r="O42" s="28">
        <f>(MOD(S42,100)-MOD(S42,10))/10</f>
      </c>
      <c r="P42" s="28">
        <f>MOD(S42,1)</f>
      </c>
      <c r="Q42" s="29"/>
      <c r="R42" s="20"/>
      <c r="S42" s="3">
        <f>H42*100</f>
      </c>
      <c r="T42" s="24"/>
    </row>
    <row r="43" ht="23.05" customHeight="1" spans="1:20" x14ac:dyDescent="0.25">
      <c r="A43" s="2"/>
      <c r="B43" s="2"/>
      <c r="C43" s="24"/>
      <c r="D43" s="25"/>
      <c r="E43" s="25"/>
      <c r="F43" s="26"/>
      <c r="G43" s="25"/>
      <c r="H43" s="27"/>
      <c r="I43" s="28">
        <f>(MOD(S43,100000000)-MOD(S43,10000000))/10000000</f>
      </c>
      <c r="J43" s="28">
        <f>(MOD(S43,10000000)-MOD(S43,1000000))/1000000</f>
      </c>
      <c r="K43" s="28">
        <f>(MOD(S43,1000000)-MOD(S43,100000))/100000</f>
      </c>
      <c r="L43" s="28">
        <f>(MOD(S43,100000)-MOD(S43,10000))/10000</f>
      </c>
      <c r="M43" s="28">
        <f>(MOD(S43,10000)-MOD(S43,1000))/1000</f>
      </c>
      <c r="N43" s="28">
        <f>(MOD(S43,1000)-MOD(S43,100))/100</f>
      </c>
      <c r="O43" s="28">
        <f>(MOD(S43,100)-MOD(S43,10))/10</f>
      </c>
      <c r="P43" s="28">
        <f>MOD(S43,1)</f>
      </c>
      <c r="Q43" s="29"/>
      <c r="R43" s="20"/>
      <c r="S43" s="3">
        <f>H43*100</f>
      </c>
      <c r="T43" s="24"/>
    </row>
    <row r="44" ht="23.05" customHeight="1" spans="1:20" x14ac:dyDescent="0.25">
      <c r="A44" s="2"/>
      <c r="B44" s="2"/>
      <c r="C44" s="24"/>
      <c r="D44" s="25"/>
      <c r="E44" s="25"/>
      <c r="F44" s="26"/>
      <c r="G44" s="25"/>
      <c r="H44" s="27"/>
      <c r="I44" s="28">
        <f>(MOD(S44,100000000)-MOD(S44,10000000))/10000000</f>
      </c>
      <c r="J44" s="28">
        <f>(MOD(S44,10000000)-MOD(S44,1000000))/1000000</f>
      </c>
      <c r="K44" s="28">
        <f>(MOD(S44,1000000)-MOD(S44,100000))/100000</f>
      </c>
      <c r="L44" s="28">
        <f>(MOD(S44,100000)-MOD(S44,10000))/10000</f>
      </c>
      <c r="M44" s="28">
        <f>(MOD(S44,10000)-MOD(S44,1000))/1000</f>
      </c>
      <c r="N44" s="28">
        <f>(MOD(S44,1000)-MOD(S44,100))/100</f>
      </c>
      <c r="O44" s="28">
        <f>(MOD(S44,100)-MOD(S44,10))/10</f>
      </c>
      <c r="P44" s="28">
        <f>MOD(S44,1)</f>
      </c>
      <c r="Q44" s="29"/>
      <c r="R44" s="20"/>
      <c r="S44" s="3">
        <f>H44*100</f>
      </c>
      <c r="T44" s="24"/>
    </row>
    <row r="45" ht="23.05" customHeight="1" spans="1:20" x14ac:dyDescent="0.25">
      <c r="A45" s="2"/>
      <c r="B45" s="2"/>
      <c r="C45" s="24"/>
      <c r="D45" s="25"/>
      <c r="E45" s="25"/>
      <c r="F45" s="26"/>
      <c r="G45" s="25"/>
      <c r="H45" s="27"/>
      <c r="I45" s="28">
        <f>(MOD(S45,100000000)-MOD(S45,10000000))/10000000</f>
      </c>
      <c r="J45" s="28">
        <f>(MOD(S45,10000000)-MOD(S45,1000000))/1000000</f>
      </c>
      <c r="K45" s="28">
        <f>(MOD(S45,1000000)-MOD(S45,100000))/100000</f>
      </c>
      <c r="L45" s="28">
        <f>(MOD(S45,100000)-MOD(S45,10000))/10000</f>
      </c>
      <c r="M45" s="28">
        <f>(MOD(S45,10000)-MOD(S45,1000))/1000</f>
      </c>
      <c r="N45" s="28">
        <f>(MOD(S45,1000)-MOD(S45,100))/100</f>
      </c>
      <c r="O45" s="28">
        <f>(MOD(S45,100)-MOD(S45,10))/10</f>
      </c>
      <c r="P45" s="28">
        <f>MOD(S45,1)</f>
      </c>
      <c r="Q45" s="29"/>
      <c r="R45" s="20"/>
      <c r="S45" s="3">
        <f>H45*100</f>
      </c>
      <c r="T45" s="24"/>
    </row>
    <row r="46" ht="23.05" customHeight="1" spans="1:20" x14ac:dyDescent="0.25">
      <c r="A46" s="2"/>
      <c r="B46" s="2"/>
      <c r="C46" s="24"/>
      <c r="D46" s="25"/>
      <c r="E46" s="25"/>
      <c r="F46" s="26"/>
      <c r="G46" s="25"/>
      <c r="H46" s="27"/>
      <c r="I46" s="28">
        <f>(MOD(S46,100000000)-MOD(S46,10000000))/10000000</f>
      </c>
      <c r="J46" s="28">
        <f>(MOD(S46,10000000)-MOD(S46,1000000))/1000000</f>
      </c>
      <c r="K46" s="28">
        <f>(MOD(S46,1000000)-MOD(S46,100000))/100000</f>
      </c>
      <c r="L46" s="28">
        <f>(MOD(S46,100000)-MOD(S46,10000))/10000</f>
      </c>
      <c r="M46" s="28">
        <f>(MOD(S46,10000)-MOD(S46,1000))/1000</f>
      </c>
      <c r="N46" s="28">
        <f>(MOD(S46,1000)-MOD(S46,100))/100</f>
      </c>
      <c r="O46" s="28">
        <f>(MOD(S46,100)-MOD(S46,10))/10</f>
      </c>
      <c r="P46" s="28">
        <f>MOD(S46,1)</f>
      </c>
      <c r="Q46" s="29"/>
      <c r="R46" s="20"/>
      <c r="S46" s="3">
        <f>H46*100</f>
      </c>
      <c r="T46" s="24"/>
    </row>
    <row r="47" ht="23.05" customHeight="1" spans="1:20" x14ac:dyDescent="0.25">
      <c r="A47" s="2"/>
      <c r="B47" s="2"/>
      <c r="C47" s="24"/>
      <c r="D47" s="25"/>
      <c r="E47" s="25"/>
      <c r="F47" s="26"/>
      <c r="G47" s="25"/>
      <c r="H47" s="27"/>
      <c r="I47" s="28">
        <f>(MOD(S47,100000000)-MOD(S47,10000000))/10000000</f>
      </c>
      <c r="J47" s="28">
        <f>(MOD(S47,10000000)-MOD(S47,1000000))/1000000</f>
      </c>
      <c r="K47" s="28">
        <f>(MOD(S47,1000000)-MOD(S47,100000))/100000</f>
      </c>
      <c r="L47" s="28">
        <f>(MOD(S47,100000)-MOD(S47,10000))/10000</f>
      </c>
      <c r="M47" s="28">
        <f>(MOD(S47,10000)-MOD(S47,1000))/1000</f>
      </c>
      <c r="N47" s="28">
        <f>(MOD(S47,1000)-MOD(S47,100))/100</f>
      </c>
      <c r="O47" s="28">
        <f>(MOD(S47,100)-MOD(S47,10))/10</f>
      </c>
      <c r="P47" s="28">
        <f>MOD(S47,1)</f>
      </c>
      <c r="Q47" s="29"/>
      <c r="R47" s="20"/>
      <c r="S47" s="3">
        <f>H47*100</f>
      </c>
      <c r="T47" s="24"/>
    </row>
    <row r="48" ht="23.05" customHeight="1" spans="1:20" x14ac:dyDescent="0.25">
      <c r="A48" s="2"/>
      <c r="B48" s="2"/>
      <c r="C48" s="24"/>
      <c r="D48" s="25"/>
      <c r="E48" s="25"/>
      <c r="F48" s="26"/>
      <c r="G48" s="25"/>
      <c r="H48" s="27"/>
      <c r="I48" s="28">
        <f>(MOD(S48,100000000)-MOD(S48,10000000))/10000000</f>
      </c>
      <c r="J48" s="28">
        <f>(MOD(S48,10000000)-MOD(S48,1000000))/1000000</f>
      </c>
      <c r="K48" s="28">
        <f>(MOD(S48,1000000)-MOD(S48,100000))/100000</f>
      </c>
      <c r="L48" s="28">
        <f>(MOD(S48,100000)-MOD(S48,10000))/10000</f>
      </c>
      <c r="M48" s="28">
        <f>(MOD(S48,10000)-MOD(S48,1000))/1000</f>
      </c>
      <c r="N48" s="28">
        <f>(MOD(S48,1000)-MOD(S48,100))/100</f>
      </c>
      <c r="O48" s="28">
        <f>(MOD(S48,100)-MOD(S48,10))/10</f>
      </c>
      <c r="P48" s="28">
        <f>MOD(S48,1)</f>
      </c>
      <c r="Q48" s="29"/>
      <c r="R48" s="20"/>
      <c r="S48" s="3">
        <f>H48*100</f>
      </c>
      <c r="T48" s="24"/>
    </row>
    <row r="49" ht="23.05" customHeight="1" spans="1:20" x14ac:dyDescent="0.25">
      <c r="A49" s="2"/>
      <c r="B49" s="2"/>
      <c r="C49" s="24"/>
      <c r="D49" s="25"/>
      <c r="E49" s="25"/>
      <c r="F49" s="26"/>
      <c r="G49" s="25"/>
      <c r="H49" s="27"/>
      <c r="I49" s="28">
        <f>(MOD(S49,100000000)-MOD(S49,10000000))/10000000</f>
      </c>
      <c r="J49" s="28">
        <f>(MOD(S49,10000000)-MOD(S49,1000000))/1000000</f>
      </c>
      <c r="K49" s="28">
        <f>(MOD(S49,1000000)-MOD(S49,100000))/100000</f>
      </c>
      <c r="L49" s="28">
        <f>(MOD(S49,100000)-MOD(S49,10000))/10000</f>
      </c>
      <c r="M49" s="28">
        <f>(MOD(S49,10000)-MOD(S49,1000))/1000</f>
      </c>
      <c r="N49" s="28">
        <f>(MOD(S49,1000)-MOD(S49,100))/100</f>
      </c>
      <c r="O49" s="28">
        <f>(MOD(S49,100)-MOD(S49,10))/10</f>
      </c>
      <c r="P49" s="28">
        <f>MOD(S49,1)</f>
      </c>
      <c r="Q49" s="29"/>
      <c r="R49" s="20"/>
      <c r="S49" s="3">
        <f>H49*100</f>
      </c>
      <c r="T49" s="24"/>
    </row>
    <row r="50" ht="23.05" customHeight="1" spans="1:20" x14ac:dyDescent="0.25">
      <c r="A50" s="2"/>
      <c r="B50" s="2"/>
      <c r="C50" s="24"/>
      <c r="D50" s="25"/>
      <c r="E50" s="25"/>
      <c r="F50" s="26"/>
      <c r="G50" s="25"/>
      <c r="H50" s="27"/>
      <c r="I50" s="28">
        <f>(MOD(S50,100000000)-MOD(S50,10000000))/10000000</f>
      </c>
      <c r="J50" s="28">
        <f>(MOD(S50,10000000)-MOD(S50,1000000))/1000000</f>
      </c>
      <c r="K50" s="28">
        <f>(MOD(S50,1000000)-MOD(S50,100000))/100000</f>
      </c>
      <c r="L50" s="28">
        <f>(MOD(S50,100000)-MOD(S50,10000))/10000</f>
      </c>
      <c r="M50" s="28">
        <f>(MOD(S50,10000)-MOD(S50,1000))/1000</f>
      </c>
      <c r="N50" s="28">
        <f>(MOD(S50,1000)-MOD(S50,100))/100</f>
      </c>
      <c r="O50" s="28">
        <f>(MOD(S50,100)-MOD(S50,10))/10</f>
      </c>
      <c r="P50" s="28">
        <f>MOD(S50,1)</f>
      </c>
      <c r="Q50" s="29"/>
      <c r="R50" s="20"/>
      <c r="S50" s="3">
        <f>H50*100</f>
      </c>
      <c r="T50" s="24"/>
    </row>
    <row r="51" ht="23.05" customHeight="1" spans="1:20" x14ac:dyDescent="0.25">
      <c r="A51" s="2"/>
      <c r="B51" s="2"/>
      <c r="C51" s="24"/>
      <c r="D51" s="25"/>
      <c r="E51" s="25"/>
      <c r="F51" s="26"/>
      <c r="G51" s="25"/>
      <c r="H51" s="27"/>
      <c r="I51" s="28">
        <f>(MOD(S51,100000000)-MOD(S51,10000000))/10000000</f>
      </c>
      <c r="J51" s="28">
        <f>(MOD(S51,10000000)-MOD(S51,1000000))/1000000</f>
      </c>
      <c r="K51" s="28">
        <f>(MOD(S51,1000000)-MOD(S51,100000))/100000</f>
      </c>
      <c r="L51" s="28">
        <f>(MOD(S51,100000)-MOD(S51,10000))/10000</f>
      </c>
      <c r="M51" s="28">
        <f>(MOD(S51,10000)-MOD(S51,1000))/1000</f>
      </c>
      <c r="N51" s="28">
        <f>(MOD(S51,1000)-MOD(S51,100))/100</f>
      </c>
      <c r="O51" s="28">
        <f>(MOD(S51,100)-MOD(S51,10))/10</f>
      </c>
      <c r="P51" s="28">
        <f>MOD(S51,1)</f>
      </c>
      <c r="Q51" s="29"/>
      <c r="R51" s="20"/>
      <c r="S51" s="3">
        <f>H51*100</f>
      </c>
      <c r="T51" s="24"/>
    </row>
    <row r="52" ht="23.05" customHeight="1" spans="1:20" x14ac:dyDescent="0.25">
      <c r="A52" s="2"/>
      <c r="B52" s="2"/>
      <c r="C52" s="24"/>
      <c r="D52" s="25"/>
      <c r="E52" s="25"/>
      <c r="F52" s="26"/>
      <c r="G52" s="25"/>
      <c r="H52" s="27"/>
      <c r="I52" s="28">
        <f>(MOD(S52,100000000)-MOD(S52,10000000))/10000000</f>
      </c>
      <c r="J52" s="28">
        <f>(MOD(S52,10000000)-MOD(S52,1000000))/1000000</f>
      </c>
      <c r="K52" s="28">
        <f>(MOD(S52,1000000)-MOD(S52,100000))/100000</f>
      </c>
      <c r="L52" s="28">
        <f>(MOD(S52,100000)-MOD(S52,10000))/10000</f>
      </c>
      <c r="M52" s="28">
        <f>(MOD(S52,10000)-MOD(S52,1000))/1000</f>
      </c>
      <c r="N52" s="28">
        <f>(MOD(S52,1000)-MOD(S52,100))/100</f>
      </c>
      <c r="O52" s="28">
        <f>(MOD(S52,100)-MOD(S52,10))/10</f>
      </c>
      <c r="P52" s="28">
        <f>MOD(S52,1)</f>
      </c>
      <c r="Q52" s="29"/>
      <c r="R52" s="20"/>
      <c r="S52" s="3">
        <f>H52*100</f>
      </c>
      <c r="T52" s="24"/>
    </row>
    <row r="53" ht="23.05" customHeight="1" spans="1:20" x14ac:dyDescent="0.25">
      <c r="A53" s="2"/>
      <c r="B53" s="2"/>
      <c r="C53" s="24"/>
      <c r="D53" s="25"/>
      <c r="E53" s="25"/>
      <c r="F53" s="26"/>
      <c r="G53" s="25"/>
      <c r="H53" s="27"/>
      <c r="I53" s="28">
        <f>(MOD(S53,100000000)-MOD(S53,10000000))/10000000</f>
      </c>
      <c r="J53" s="28">
        <f>(MOD(S53,10000000)-MOD(S53,1000000))/1000000</f>
      </c>
      <c r="K53" s="28">
        <f>(MOD(S53,1000000)-MOD(S53,100000))/100000</f>
      </c>
      <c r="L53" s="28">
        <f>(MOD(S53,100000)-MOD(S53,10000))/10000</f>
      </c>
      <c r="M53" s="28">
        <f>(MOD(S53,10000)-MOD(S53,1000))/1000</f>
      </c>
      <c r="N53" s="28">
        <f>(MOD(S53,1000)-MOD(S53,100))/100</f>
      </c>
      <c r="O53" s="28">
        <f>(MOD(S53,100)-MOD(S53,10))/10</f>
      </c>
      <c r="P53" s="28">
        <f>MOD(S53,1)</f>
      </c>
      <c r="Q53" s="29"/>
      <c r="R53" s="20"/>
      <c r="S53" s="3">
        <f>H53*100</f>
      </c>
      <c r="T53" s="24"/>
    </row>
    <row r="54" ht="23.05" customHeight="1" spans="1:20" x14ac:dyDescent="0.25">
      <c r="A54" s="2"/>
      <c r="B54" s="2"/>
      <c r="C54" s="24"/>
      <c r="D54" s="25"/>
      <c r="E54" s="25"/>
      <c r="F54" s="26"/>
      <c r="G54" s="25"/>
      <c r="H54" s="27"/>
      <c r="I54" s="28">
        <f>(MOD(S54,100000000)-MOD(S54,10000000))/10000000</f>
      </c>
      <c r="J54" s="28">
        <f>(MOD(S54,10000000)-MOD(S54,1000000))/1000000</f>
      </c>
      <c r="K54" s="28">
        <f>(MOD(S54,1000000)-MOD(S54,100000))/100000</f>
      </c>
      <c r="L54" s="28">
        <f>(MOD(S54,100000)-MOD(S54,10000))/10000</f>
      </c>
      <c r="M54" s="28">
        <f>(MOD(S54,10000)-MOD(S54,1000))/1000</f>
      </c>
      <c r="N54" s="28">
        <f>(MOD(S54,1000)-MOD(S54,100))/100</f>
      </c>
      <c r="O54" s="28">
        <f>(MOD(S54,100)-MOD(S54,10))/10</f>
      </c>
      <c r="P54" s="28">
        <f>MOD(S54,1)</f>
      </c>
      <c r="Q54" s="29"/>
      <c r="R54" s="20"/>
      <c r="S54" s="3">
        <f>H54*100</f>
      </c>
      <c r="T54" s="24"/>
    </row>
    <row r="55" ht="23.05" customHeight="1" spans="1:20" x14ac:dyDescent="0.25">
      <c r="A55" s="2"/>
      <c r="B55" s="2"/>
      <c r="C55" s="24"/>
      <c r="D55" s="25"/>
      <c r="E55" s="25"/>
      <c r="F55" s="26"/>
      <c r="G55" s="25"/>
      <c r="H55" s="27"/>
      <c r="I55" s="28">
        <f>(MOD(S55,100000000)-MOD(S55,10000000))/10000000</f>
      </c>
      <c r="J55" s="28">
        <f>(MOD(S55,10000000)-MOD(S55,1000000))/1000000</f>
      </c>
      <c r="K55" s="28">
        <f>(MOD(S55,1000000)-MOD(S55,100000))/100000</f>
      </c>
      <c r="L55" s="28">
        <f>(MOD(S55,100000)-MOD(S55,10000))/10000</f>
      </c>
      <c r="M55" s="28">
        <f>(MOD(S55,10000)-MOD(S55,1000))/1000</f>
      </c>
      <c r="N55" s="28">
        <f>(MOD(S55,1000)-MOD(S55,100))/100</f>
      </c>
      <c r="O55" s="28">
        <f>(MOD(S55,100)-MOD(S55,10))/10</f>
      </c>
      <c r="P55" s="28">
        <f>MOD(S55,1)</f>
      </c>
      <c r="Q55" s="29"/>
      <c r="R55" s="20"/>
      <c r="S55" s="3">
        <f>H55*100</f>
      </c>
      <c r="T55" s="24"/>
    </row>
    <row r="56" ht="23.05" customHeight="1" spans="1:20" x14ac:dyDescent="0.25">
      <c r="A56" s="2"/>
      <c r="B56" s="2"/>
      <c r="C56" s="24"/>
      <c r="D56" s="25"/>
      <c r="E56" s="25"/>
      <c r="F56" s="26"/>
      <c r="G56" s="25"/>
      <c r="H56" s="27"/>
      <c r="I56" s="28">
        <f>(MOD(S56,100000000)-MOD(S56,10000000))/10000000</f>
      </c>
      <c r="J56" s="28">
        <f>(MOD(S56,10000000)-MOD(S56,1000000))/1000000</f>
      </c>
      <c r="K56" s="28">
        <f>(MOD(S56,1000000)-MOD(S56,100000))/100000</f>
      </c>
      <c r="L56" s="28">
        <f>(MOD(S56,100000)-MOD(S56,10000))/10000</f>
      </c>
      <c r="M56" s="28">
        <f>(MOD(S56,10000)-MOD(S56,1000))/1000</f>
      </c>
      <c r="N56" s="28">
        <f>(MOD(S56,1000)-MOD(S56,100))/100</f>
      </c>
      <c r="O56" s="28">
        <f>(MOD(S56,100)-MOD(S56,10))/10</f>
      </c>
      <c r="P56" s="28">
        <f>MOD(S56,1)</f>
      </c>
      <c r="Q56" s="29"/>
      <c r="R56" s="20"/>
      <c r="S56" s="3">
        <f>H56*100</f>
      </c>
      <c r="T56" s="24"/>
    </row>
    <row r="57" ht="23.05" customHeight="1" spans="1:20" x14ac:dyDescent="0.25">
      <c r="A57" s="2"/>
      <c r="B57" s="2"/>
      <c r="C57" s="24"/>
      <c r="D57" s="25"/>
      <c r="E57" s="25"/>
      <c r="F57" s="26"/>
      <c r="G57" s="25"/>
      <c r="H57" s="27"/>
      <c r="I57" s="28">
        <f>(MOD(S57,100000000)-MOD(S57,10000000))/10000000</f>
      </c>
      <c r="J57" s="28">
        <f>(MOD(S57,10000000)-MOD(S57,1000000))/1000000</f>
      </c>
      <c r="K57" s="28">
        <f>(MOD(S57,1000000)-MOD(S57,100000))/100000</f>
      </c>
      <c r="L57" s="28">
        <f>(MOD(S57,100000)-MOD(S57,10000))/10000</f>
      </c>
      <c r="M57" s="28">
        <f>(MOD(S57,10000)-MOD(S57,1000))/1000</f>
      </c>
      <c r="N57" s="28">
        <f>(MOD(S57,1000)-MOD(S57,100))/100</f>
      </c>
      <c r="O57" s="28">
        <f>(MOD(S57,100)-MOD(S57,10))/10</f>
      </c>
      <c r="P57" s="28">
        <f>MOD(S57,1)</f>
      </c>
      <c r="Q57" s="29"/>
      <c r="R57" s="20"/>
      <c r="S57" s="3">
        <f>H57*100</f>
      </c>
      <c r="T57" s="24"/>
    </row>
    <row r="58" ht="23.05" customHeight="1" spans="1:19" x14ac:dyDescent="0.25">
      <c r="A58" s="2"/>
      <c r="B58" s="2"/>
      <c r="C58" s="30"/>
      <c r="D58" s="31"/>
      <c r="E58" s="31"/>
      <c r="F58" s="32">
        <f>H58</f>
      </c>
      <c r="G58" s="32"/>
      <c r="H58" s="33">
        <f>SUM(H8:H57)</f>
      </c>
      <c r="I58" s="28">
        <f>(MOD(S58,100000000)-MOD(S58,10000000))/10000000</f>
      </c>
      <c r="J58" s="28">
        <f>(MOD(S58,10000000)-MOD(S58,1000000))/1000000</f>
      </c>
      <c r="K58" s="28">
        <f>(MOD(S58,1000000)-MOD(S58,100000))/100000</f>
      </c>
      <c r="L58" s="28">
        <f>(MOD(S58,100000)-MOD(S58,10000))/10000</f>
      </c>
      <c r="M58" s="28">
        <f>(MOD(S58,10000)-MOD(S58,1000))/1000</f>
      </c>
      <c r="N58" s="28">
        <f>(MOD(S58,1000)-MOD(S58,100))/100</f>
      </c>
      <c r="O58" s="28">
        <f>(MOD(S58,100)-MOD(S58,10))/10</f>
      </c>
      <c r="P58" s="28">
        <f>MOD(S58,10)</f>
      </c>
      <c r="Q58" s="34"/>
      <c r="R58" s="20"/>
      <c r="S58" s="3">
        <f>H58*100</f>
      </c>
    </row>
  </sheetData>
  <mergeCells count="13">
    <mergeCell ref="C2:Q2"/>
    <mergeCell ref="M3:Q3"/>
    <mergeCell ref="C4:E4"/>
    <mergeCell ref="G4:J4"/>
    <mergeCell ref="M4:O4"/>
    <mergeCell ref="P4:Q4"/>
    <mergeCell ref="C6:E6"/>
    <mergeCell ref="I6:P6"/>
    <mergeCell ref="F6:F7"/>
    <mergeCell ref="G6:G7"/>
    <mergeCell ref="H6:H7"/>
    <mergeCell ref="Q6:Q7"/>
    <mergeCell ref="R6:R57"/>
  </mergeCells>
  <conditionalFormatting sqref="I8:I19">
    <cfRule type="cellIs" dxfId="0" priority="6" operator="equal">
      <formula>0</formula>
    </cfRule>
  </conditionalFormatting>
  <conditionalFormatting sqref="J8:J19">
    <cfRule type="expression" dxfId="1" priority="2">
      <formula>SUM(I8:J8)=0</formula>
    </cfRule>
  </conditionalFormatting>
  <conditionalFormatting sqref="K8:K19">
    <cfRule type="expression" dxfId="2" priority="7">
      <formula>SUM(I8:K8)=0</formula>
    </cfRule>
  </conditionalFormatting>
  <conditionalFormatting sqref="L8:L19">
    <cfRule type="expression" dxfId="3" priority="8">
      <formula>SUM(I8:L8)=0</formula>
    </cfRule>
  </conditionalFormatting>
  <conditionalFormatting sqref="M8:M19">
    <cfRule type="expression" dxfId="4" priority="3">
      <formula>SUM(I8:M8)=0</formula>
    </cfRule>
  </conditionalFormatting>
  <conditionalFormatting sqref="N8:N19">
    <cfRule type="expression" dxfId="5" priority="4">
      <formula>SUM(I8:N8)=0</formula>
    </cfRule>
  </conditionalFormatting>
  <conditionalFormatting sqref="O8:O19">
    <cfRule type="expression" dxfId="6" priority="1">
      <formula>SUM(I8:O8)=0</formula>
    </cfRule>
  </conditionalFormatting>
  <conditionalFormatting sqref="P8:P19">
    <cfRule type="expression" dxfId="7" priority="5">
      <formula>SUM(I8:P8)=0</formula>
    </cfRule>
  </conditionalFormatting>
  <pageMargins left="0.75" right="0.75" top="1" bottom="1" header="0.5" footer="0.5"/>
  <pageSetup paperSize="9" orientation="landscape" horizontalDpi="4294967295" verticalDpi="4294967295" scale="7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TI GER</cp:lastModifiedBy>
  <dcterms:created xsi:type="dcterms:W3CDTF">2020-07-24T06:18:00Z</dcterms:created>
  <dcterms:modified xsi:type="dcterms:W3CDTF">2026-10-11T06:35:59Z</dcterms:modified>
</cp:coreProperties>
</file>